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azulene_cc0001" sheetId="1" r:id="rId5"/>
  </sheets>
  <definedNames/>
  <calcPr/>
</workbook>
</file>

<file path=xl/sharedStrings.xml><?xml version="1.0" encoding="utf-8"?>
<sst xmlns="http://schemas.openxmlformats.org/spreadsheetml/2006/main" count="33" uniqueCount="32">
  <si>
    <t>Website</t>
  </si>
  <si>
    <t>https://asu-molecular-sciences-cloud-lab.github.io/bomb_calorimetry_v2/</t>
  </si>
  <si>
    <t>Simulated Calorimeter</t>
  </si>
  <si>
    <t>Parr #0001</t>
  </si>
  <si>
    <t>Sample Name</t>
  </si>
  <si>
    <t>Azulene</t>
  </si>
  <si>
    <t>Change Temp</t>
  </si>
  <si>
    <t>Formula</t>
  </si>
  <si>
    <t>C10H8</t>
  </si>
  <si>
    <t>Cal Const</t>
  </si>
  <si>
    <t>Molecular Weight (g/mol)</t>
  </si>
  <si>
    <t>Heat Absorbed</t>
  </si>
  <si>
    <t>exothermic, negative value</t>
  </si>
  <si>
    <t>Sample Weight (g)</t>
  </si>
  <si>
    <t>Wire Change</t>
  </si>
  <si>
    <t>Water Temp (deg C)</t>
  </si>
  <si>
    <t>q wire</t>
  </si>
  <si>
    <t>kJ/g</t>
  </si>
  <si>
    <t>Room Temp (deg C)</t>
  </si>
  <si>
    <t>Heat Wire</t>
  </si>
  <si>
    <t>Water Volume (L)</t>
  </si>
  <si>
    <t>Nap Heat</t>
  </si>
  <si>
    <t>Wire Before (g)</t>
  </si>
  <si>
    <t>MM Nap</t>
  </si>
  <si>
    <t>g/mol</t>
  </si>
  <si>
    <t>Wire After (g)</t>
  </si>
  <si>
    <t>Mol Comb</t>
  </si>
  <si>
    <t>Time (s)</t>
  </si>
  <si>
    <t>Temperature (C)</t>
  </si>
  <si>
    <t>HNap</t>
  </si>
  <si>
    <t>HAz</t>
  </si>
  <si>
    <t>HOverall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</si>
</sst>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su-molecular-sciences-cloud-lab.github.io/bomb_calorimetry_v2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  <c r="E3" s="3" t="s">
        <v>6</v>
      </c>
      <c r="F3" s="4">
        <f>B46-B14</f>
        <v>4.13</v>
      </c>
      <c r="G3" s="3"/>
    </row>
    <row r="4">
      <c r="A4" s="1" t="s">
        <v>7</v>
      </c>
      <c r="B4" s="1" t="s">
        <v>8</v>
      </c>
      <c r="E4" s="3" t="s">
        <v>9</v>
      </c>
      <c r="F4" s="4">
        <v>10.1</v>
      </c>
      <c r="G4" s="3"/>
    </row>
    <row r="5">
      <c r="A5" s="1" t="s">
        <v>10</v>
      </c>
      <c r="B5" s="1">
        <v>128.174</v>
      </c>
      <c r="E5" s="3" t="s">
        <v>11</v>
      </c>
      <c r="F5" s="4">
        <f>-F3*F4</f>
        <v>-41.713</v>
      </c>
      <c r="G5" s="3" t="s">
        <v>12</v>
      </c>
    </row>
    <row r="6">
      <c r="A6" s="1" t="s">
        <v>13</v>
      </c>
      <c r="B6" s="1">
        <v>1.0272</v>
      </c>
      <c r="E6" s="3" t="s">
        <v>14</v>
      </c>
      <c r="F6" s="4">
        <f>B10-B11</f>
        <v>0.002</v>
      </c>
      <c r="G6" s="3"/>
    </row>
    <row r="7">
      <c r="A7" s="1" t="s">
        <v>15</v>
      </c>
      <c r="B7" s="1">
        <v>24.2</v>
      </c>
      <c r="E7" s="3" t="s">
        <v>16</v>
      </c>
      <c r="F7" s="4">
        <v>5.858</v>
      </c>
      <c r="G7" s="3" t="s">
        <v>17</v>
      </c>
    </row>
    <row r="8">
      <c r="A8" s="1" t="s">
        <v>18</v>
      </c>
      <c r="B8" s="1">
        <v>23.0</v>
      </c>
      <c r="E8" s="3" t="s">
        <v>19</v>
      </c>
      <c r="F8" s="4">
        <f>F6*F7</f>
        <v>0.011716</v>
      </c>
      <c r="G8" s="3"/>
    </row>
    <row r="9">
      <c r="A9" s="1" t="s">
        <v>20</v>
      </c>
      <c r="B9" s="1">
        <v>2.0</v>
      </c>
      <c r="E9" s="3" t="s">
        <v>21</v>
      </c>
      <c r="F9" s="4">
        <f>F5-F8</f>
        <v>-41.724716</v>
      </c>
      <c r="G9" s="3" t="s">
        <v>17</v>
      </c>
    </row>
    <row r="10">
      <c r="A10" s="1" t="s">
        <v>22</v>
      </c>
      <c r="B10" s="1">
        <v>0.026</v>
      </c>
      <c r="E10" s="3" t="s">
        <v>23</v>
      </c>
      <c r="F10" s="4">
        <v>128.17</v>
      </c>
      <c r="G10" s="3" t="s">
        <v>24</v>
      </c>
    </row>
    <row r="11">
      <c r="A11" s="1" t="s">
        <v>25</v>
      </c>
      <c r="B11" s="1">
        <v>0.024</v>
      </c>
      <c r="E11" s="3" t="s">
        <v>26</v>
      </c>
      <c r="F11" s="4">
        <f>F9*F10</f>
        <v>-5347.85685</v>
      </c>
      <c r="G11" s="3"/>
    </row>
    <row r="12">
      <c r="A12" s="5" t="str">
        <f>====</f>
        <v>#ERROR!</v>
      </c>
      <c r="B12" s="5" t="str">
        <f>====</f>
        <v>#ERROR!</v>
      </c>
    </row>
    <row r="13">
      <c r="A13" s="1" t="s">
        <v>27</v>
      </c>
      <c r="B13" s="1" t="s">
        <v>28</v>
      </c>
    </row>
    <row r="14">
      <c r="A14" s="1">
        <v>0.0</v>
      </c>
      <c r="B14" s="1">
        <v>24.2</v>
      </c>
      <c r="E14" s="1" t="s">
        <v>29</v>
      </c>
      <c r="F14" s="1">
        <v>-5494.758639</v>
      </c>
    </row>
    <row r="15">
      <c r="A15" s="1">
        <v>30.0</v>
      </c>
      <c r="B15" s="1">
        <v>24.2</v>
      </c>
      <c r="E15" s="1" t="s">
        <v>30</v>
      </c>
      <c r="F15" s="5">
        <f>F11</f>
        <v>-5347.85685</v>
      </c>
    </row>
    <row r="16">
      <c r="A16" s="1">
        <v>60.0</v>
      </c>
      <c r="B16" s="1">
        <v>24.19</v>
      </c>
      <c r="E16" s="1" t="s">
        <v>31</v>
      </c>
      <c r="F16" s="5">
        <f>F15-F14</f>
        <v>146.9017893</v>
      </c>
    </row>
    <row r="17">
      <c r="A17" s="1">
        <v>90.0</v>
      </c>
      <c r="B17" s="1">
        <v>24.22</v>
      </c>
    </row>
    <row r="18">
      <c r="A18" s="1">
        <v>120.0</v>
      </c>
      <c r="B18" s="1">
        <v>24.19</v>
      </c>
    </row>
    <row r="19">
      <c r="A19" s="1">
        <v>150.0</v>
      </c>
      <c r="B19" s="1">
        <v>24.22</v>
      </c>
    </row>
    <row r="20">
      <c r="A20" s="1">
        <v>180.0</v>
      </c>
      <c r="B20" s="1">
        <v>24.18</v>
      </c>
    </row>
    <row r="21">
      <c r="A21" s="1">
        <v>210.0</v>
      </c>
      <c r="B21" s="1">
        <v>24.2</v>
      </c>
    </row>
    <row r="22">
      <c r="A22" s="1">
        <v>240.0</v>
      </c>
      <c r="B22" s="1">
        <v>24.22</v>
      </c>
    </row>
    <row r="23">
      <c r="A23" s="1">
        <v>270.0</v>
      </c>
      <c r="B23" s="1">
        <v>24.19</v>
      </c>
    </row>
    <row r="24">
      <c r="A24" s="1">
        <v>300.0</v>
      </c>
      <c r="B24" s="1">
        <v>24.21</v>
      </c>
    </row>
    <row r="25">
      <c r="A25" s="1">
        <v>330.0</v>
      </c>
      <c r="B25" s="1">
        <v>24.94</v>
      </c>
    </row>
    <row r="26">
      <c r="A26" s="1">
        <v>360.0</v>
      </c>
      <c r="B26" s="1">
        <v>26.1</v>
      </c>
    </row>
    <row r="27">
      <c r="A27" s="1">
        <v>390.0</v>
      </c>
      <c r="B27" s="1">
        <v>27.01</v>
      </c>
    </row>
    <row r="28">
      <c r="A28" s="1">
        <v>420.0</v>
      </c>
      <c r="B28" s="1">
        <v>27.59</v>
      </c>
    </row>
    <row r="29">
      <c r="A29" s="1">
        <v>450.0</v>
      </c>
      <c r="B29" s="1">
        <v>27.95</v>
      </c>
    </row>
    <row r="30">
      <c r="A30" s="1">
        <v>480.0</v>
      </c>
      <c r="B30" s="1">
        <v>28.15</v>
      </c>
    </row>
    <row r="31">
      <c r="A31" s="1">
        <v>510.0</v>
      </c>
      <c r="B31" s="1">
        <v>28.26</v>
      </c>
    </row>
    <row r="32">
      <c r="A32" s="1">
        <v>540.0</v>
      </c>
      <c r="B32" s="1">
        <v>28.33</v>
      </c>
    </row>
    <row r="33">
      <c r="A33" s="1">
        <v>570.0</v>
      </c>
      <c r="B33" s="1">
        <v>28.35</v>
      </c>
    </row>
    <row r="34">
      <c r="A34" s="1">
        <v>600.0</v>
      </c>
      <c r="B34" s="1">
        <v>28.36</v>
      </c>
    </row>
    <row r="35">
      <c r="A35" s="1">
        <v>630.0</v>
      </c>
      <c r="B35" s="1">
        <v>28.36</v>
      </c>
    </row>
    <row r="36">
      <c r="A36" s="1">
        <v>660.0</v>
      </c>
      <c r="B36" s="1">
        <v>28.37</v>
      </c>
    </row>
    <row r="37">
      <c r="A37" s="1">
        <v>690.0</v>
      </c>
      <c r="B37" s="1">
        <v>28.38</v>
      </c>
    </row>
    <row r="38">
      <c r="A38" s="1">
        <v>720.0</v>
      </c>
      <c r="B38" s="1">
        <v>28.36</v>
      </c>
    </row>
    <row r="39">
      <c r="A39" s="1">
        <v>750.0</v>
      </c>
      <c r="B39" s="1">
        <v>28.35</v>
      </c>
    </row>
    <row r="40">
      <c r="A40" s="1">
        <v>780.0</v>
      </c>
      <c r="B40" s="1">
        <v>28.36</v>
      </c>
    </row>
    <row r="41">
      <c r="A41" s="1">
        <v>810.0</v>
      </c>
      <c r="B41" s="1">
        <v>28.36</v>
      </c>
    </row>
    <row r="42">
      <c r="A42" s="1">
        <v>840.0</v>
      </c>
      <c r="B42" s="1">
        <v>28.36</v>
      </c>
    </row>
    <row r="43">
      <c r="A43" s="1">
        <v>870.0</v>
      </c>
      <c r="B43" s="1">
        <v>28.34</v>
      </c>
    </row>
    <row r="44">
      <c r="A44" s="1">
        <v>900.0</v>
      </c>
      <c r="B44" s="1">
        <v>28.35</v>
      </c>
    </row>
    <row r="45">
      <c r="A45" s="1">
        <v>930.0</v>
      </c>
      <c r="B45" s="1">
        <v>28.33</v>
      </c>
    </row>
    <row r="46">
      <c r="A46" s="1">
        <v>960.0</v>
      </c>
      <c r="B46" s="1">
        <v>28.33</v>
      </c>
    </row>
  </sheetData>
  <hyperlinks>
    <hyperlink r:id="rId1" ref="B1"/>
  </hyperlinks>
  <drawing r:id="rId2"/>
</worksheet>
</file>